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0b6eab78d9a02e/Documentos/Cursos/Cursos dio/Excel com Claude/"/>
    </mc:Choice>
  </mc:AlternateContent>
  <xr:revisionPtr revIDLastSave="437" documentId="8_{16BAD8BD-0A34-4371-800B-703DE106E87E}" xr6:coauthVersionLast="47" xr6:coauthVersionMax="47" xr10:uidLastSave="{55C878C6-DC1A-4126-8F5D-9EED882ED267}"/>
  <bookViews>
    <workbookView xWindow="-120" yWindow="-120" windowWidth="20730" windowHeight="11040" tabRatio="0" xr2:uid="{782F2E22-E92D-4F0B-9DB0-71201F473EFB}"/>
  </bookViews>
  <sheets>
    <sheet name="App" sheetId="1" r:id="rId1"/>
    <sheet name="Planilha2" sheetId="2" r:id="rId2"/>
  </sheets>
  <definedNames>
    <definedName name="Aporte">App!$D$15</definedName>
    <definedName name="patrimonio">App!$D$18</definedName>
    <definedName name="QTDE_Anos">App!$D$16</definedName>
    <definedName name="Rendimento_carteira">App!$D$11</definedName>
    <definedName name="salario">App!$D$10</definedName>
    <definedName name="sugestao_investimento">App!$B$12</definedName>
    <definedName name="taxa_mensal">App!$D$17</definedName>
    <definedName name="taxa_rendimento_mensal">App!$B$17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5" i="1" s="1"/>
  <c r="C35" i="1"/>
  <c r="C36" i="1"/>
  <c r="C37" i="1"/>
  <c r="C38" i="1"/>
  <c r="C39" i="1"/>
  <c r="C34" i="1"/>
  <c r="H5" i="2"/>
  <c r="G5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24" i="1" l="1"/>
  <c r="D24" i="1" s="1"/>
  <c r="D18" i="1"/>
  <c r="D19" i="1" s="1"/>
  <c r="C26" i="1"/>
  <c r="D26" i="1" s="1"/>
  <c r="C31" i="1"/>
  <c r="D34" i="1" s="1"/>
  <c r="C22" i="1"/>
  <c r="D22" i="1" s="1"/>
  <c r="C25" i="1"/>
  <c r="D25" i="1" s="1"/>
  <c r="C23" i="1"/>
  <c r="D23" i="1" s="1"/>
  <c r="D38" i="1" l="1"/>
  <c r="D36" i="1"/>
  <c r="D39" i="1"/>
  <c r="D37" i="1"/>
  <c r="D35" i="1"/>
  <c r="D40" i="1"/>
</calcChain>
</file>

<file path=xl/sharedStrings.xml><?xml version="1.0" encoding="utf-8"?>
<sst xmlns="http://schemas.openxmlformats.org/spreadsheetml/2006/main" count="69" uniqueCount="33">
  <si>
    <t>INVESTIMENTO MENSAL</t>
  </si>
  <si>
    <t>Patrimônio acumulado?</t>
  </si>
  <si>
    <t>Dividendos mensais?</t>
  </si>
  <si>
    <t>Quanto investir por mês?</t>
  </si>
  <si>
    <t>Por quantos anos?</t>
  </si>
  <si>
    <t>Taxa de rendimento mensal?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</si>
  <si>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</si>
  <si>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</si>
  <si>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</si>
  <si>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</si>
  <si>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</si>
  <si>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</si>
  <si>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</si>
  <si>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</si>
  <si>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CONFIGURAÇÕES</t>
  </si>
  <si>
    <t>CENÁRIOS</t>
  </si>
  <si>
    <t>Agressivo</t>
  </si>
  <si>
    <t>PERFIL</t>
  </si>
  <si>
    <t>VALOR A SER INVESTIDO POR MÊS</t>
  </si>
  <si>
    <t>TIPO DE FII</t>
  </si>
  <si>
    <t>Valores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</si>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</sst>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indexed="64"/>
      </right>
      <top/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3" borderId="5" xfId="0" applyFont="1" applyFill="1" applyBorder="1" applyAlignment="1">
      <alignment horizontal="left" indent="3"/>
    </xf>
    <xf numFmtId="164" fontId="8" fillId="0" borderId="7" xfId="1" applyNumberFormat="1" applyFont="1" applyBorder="1" applyAlignment="1">
      <alignment horizontal="center"/>
    </xf>
    <xf numFmtId="0" fontId="7" fillId="3" borderId="8" xfId="0" applyFont="1" applyFill="1" applyBorder="1" applyAlignment="1">
      <alignment horizontal="left" indent="3"/>
    </xf>
    <xf numFmtId="10" fontId="8" fillId="0" borderId="13" xfId="0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left" indent="3"/>
    </xf>
    <xf numFmtId="164" fontId="8" fillId="0" borderId="15" xfId="1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0" fontId="9" fillId="0" borderId="13" xfId="0" applyNumberFormat="1" applyFont="1" applyBorder="1" applyAlignment="1">
      <alignment horizontal="center"/>
    </xf>
    <xf numFmtId="8" fontId="9" fillId="3" borderId="13" xfId="0" applyNumberFormat="1" applyFont="1" applyFill="1" applyBorder="1" applyAlignment="1">
      <alignment horizontal="center"/>
    </xf>
    <xf numFmtId="8" fontId="9" fillId="3" borderId="15" xfId="0" applyNumberFormat="1" applyFont="1" applyFill="1" applyBorder="1" applyAlignment="1">
      <alignment horizontal="center"/>
    </xf>
    <xf numFmtId="164" fontId="8" fillId="3" borderId="6" xfId="0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164" fontId="8" fillId="3" borderId="16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0" fontId="6" fillId="5" borderId="0" xfId="3"/>
    <xf numFmtId="164" fontId="0" fillId="0" borderId="0" xfId="0" applyNumberFormat="1"/>
    <xf numFmtId="0" fontId="0" fillId="3" borderId="0" xfId="0" applyFill="1"/>
    <xf numFmtId="164" fontId="0" fillId="3" borderId="0" xfId="0" applyNumberFormat="1" applyFill="1" applyAlignment="1">
      <alignment horizontal="center"/>
    </xf>
    <xf numFmtId="0" fontId="6" fillId="5" borderId="0" xfId="3" applyAlignment="1">
      <alignment horizontal="center"/>
    </xf>
    <xf numFmtId="9" fontId="0" fillId="0" borderId="0" xfId="0" applyNumberFormat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2" fillId="3" borderId="0" xfId="0" applyFont="1" applyFill="1"/>
    <xf numFmtId="0" fontId="0" fillId="0" borderId="12" xfId="0" applyBorder="1"/>
    <xf numFmtId="0" fontId="0" fillId="0" borderId="12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6" fillId="5" borderId="0" xfId="2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indent="3"/>
    </xf>
    <xf numFmtId="0" fontId="7" fillId="0" borderId="6" xfId="0" applyFont="1" applyBorder="1" applyAlignment="1">
      <alignment horizontal="left" indent="3"/>
    </xf>
    <xf numFmtId="0" fontId="7" fillId="3" borderId="8" xfId="0" applyFont="1" applyFill="1" applyBorder="1" applyAlignment="1">
      <alignment horizontal="left" indent="3"/>
    </xf>
    <xf numFmtId="0" fontId="7" fillId="3" borderId="9" xfId="0" applyFont="1" applyFill="1" applyBorder="1" applyAlignment="1">
      <alignment horizontal="left" indent="3"/>
    </xf>
    <xf numFmtId="0" fontId="10" fillId="3" borderId="8" xfId="0" applyFont="1" applyFill="1" applyBorder="1" applyAlignment="1">
      <alignment horizontal="left" indent="3"/>
    </xf>
    <xf numFmtId="0" fontId="10" fillId="3" borderId="9" xfId="0" applyFont="1" applyFill="1" applyBorder="1" applyAlignment="1">
      <alignment horizontal="left" indent="3"/>
    </xf>
    <xf numFmtId="0" fontId="4" fillId="2" borderId="2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left" indent="3"/>
    </xf>
    <xf numFmtId="0" fontId="10" fillId="3" borderId="14" xfId="0" applyFont="1" applyFill="1" applyBorder="1" applyAlignment="1">
      <alignment horizontal="left" indent="3"/>
    </xf>
    <xf numFmtId="0" fontId="7" fillId="3" borderId="5" xfId="0" applyFont="1" applyFill="1" applyBorder="1" applyAlignment="1">
      <alignment horizontal="left" indent="3"/>
    </xf>
    <xf numFmtId="0" fontId="7" fillId="3" borderId="6" xfId="0" applyFont="1" applyFill="1" applyBorder="1" applyAlignment="1">
      <alignment horizontal="left" indent="3"/>
    </xf>
    <xf numFmtId="0" fontId="7" fillId="3" borderId="10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left" indent="3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8117891513560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A5-4315-9153-D95650C40D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A5-4315-9153-D95650C40D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A5-4315-9153-D95650C40D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A5-4315-9153-D95650C40D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A5-4315-9153-D95650C40D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A5-4315-9153-D95650C40D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A5-4315-9153-D95650C40D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App!$C$34:$C$40</c:f>
              <c:numCache>
                <c:formatCode>0%</c:formatCode>
                <c:ptCount val="7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2-4C7D-AC63-653A366EF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1918</xdr:colOff>
      <xdr:row>1</xdr:row>
      <xdr:rowOff>47625</xdr:rowOff>
    </xdr:from>
    <xdr:to>
      <xdr:col>4</xdr:col>
      <xdr:colOff>19050</xdr:colOff>
      <xdr:row>7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4E7EA2-1054-A0DA-7683-2D7F4EC9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18" y="238125"/>
          <a:ext cx="7065632" cy="1181100"/>
        </a:xfrm>
        <a:prstGeom prst="rect">
          <a:avLst/>
        </a:prstGeom>
      </xdr:spPr>
    </xdr:pic>
    <xdr:clientData/>
  </xdr:twoCellAnchor>
  <xdr:twoCellAnchor>
    <xdr:from>
      <xdr:col>1</xdr:col>
      <xdr:colOff>1209675</xdr:colOff>
      <xdr:row>42</xdr:row>
      <xdr:rowOff>123825</xdr:rowOff>
    </xdr:from>
    <xdr:to>
      <xdr:col>2</xdr:col>
      <xdr:colOff>2733675</xdr:colOff>
      <xdr:row>57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0DABA4-92C4-22D7-6B11-4F12E886D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0617-8611-4177-B626-B2EFEEC0933A}">
  <dimension ref="A8:H40"/>
  <sheetViews>
    <sheetView showGridLines="0" showRowColHeaders="0" tabSelected="1" workbookViewId="0">
      <selection activeCell="H16" sqref="H16"/>
    </sheetView>
  </sheetViews>
  <sheetFormatPr defaultColWidth="0" defaultRowHeight="15" x14ac:dyDescent="0.25"/>
  <cols>
    <col min="1" max="1" width="7.42578125" customWidth="1"/>
    <col min="2" max="2" width="45.7109375" customWidth="1"/>
    <col min="3" max="3" width="42.140625" customWidth="1"/>
    <col min="4" max="4" width="17.85546875" customWidth="1"/>
    <col min="5" max="5" width="4" customWidth="1"/>
    <col min="6" max="6" width="0.7109375" customWidth="1"/>
    <col min="7" max="7" width="1" customWidth="1"/>
    <col min="8" max="8" width="1.42578125" customWidth="1"/>
    <col min="9" max="11" width="9.140625" hidden="1" customWidth="1"/>
    <col min="12" max="16384" width="9.140625" hidden="1"/>
  </cols>
  <sheetData>
    <row r="8" spans="2:4" ht="15.75" thickBot="1" x14ac:dyDescent="0.3"/>
    <row r="9" spans="2:4" ht="26.25" x14ac:dyDescent="0.25">
      <c r="B9" s="49" t="s">
        <v>14</v>
      </c>
      <c r="C9" s="50"/>
      <c r="D9" s="51"/>
    </row>
    <row r="10" spans="2:4" ht="18" thickBot="1" x14ac:dyDescent="0.35">
      <c r="B10" s="45" t="s">
        <v>12</v>
      </c>
      <c r="C10" s="46"/>
      <c r="D10" s="5">
        <v>4200</v>
      </c>
    </row>
    <row r="11" spans="2:4" ht="18" thickBot="1" x14ac:dyDescent="0.35">
      <c r="B11" s="38" t="s">
        <v>13</v>
      </c>
      <c r="C11" s="39"/>
      <c r="D11" s="7">
        <v>6.0000000000000001E-3</v>
      </c>
    </row>
    <row r="12" spans="2:4" ht="18" thickBot="1" x14ac:dyDescent="0.35">
      <c r="B12" s="47" t="s">
        <v>32</v>
      </c>
      <c r="C12" s="48"/>
      <c r="D12" s="9">
        <f>salario*30%</f>
        <v>1260</v>
      </c>
    </row>
    <row r="13" spans="2:4" ht="15.75" thickBot="1" x14ac:dyDescent="0.3"/>
    <row r="14" spans="2:4" ht="42" customHeight="1" x14ac:dyDescent="0.25">
      <c r="B14" s="34" t="s">
        <v>0</v>
      </c>
      <c r="C14" s="35"/>
      <c r="D14" s="42"/>
    </row>
    <row r="15" spans="2:4" ht="18" thickBot="1" x14ac:dyDescent="0.35">
      <c r="B15" s="36" t="s">
        <v>3</v>
      </c>
      <c r="C15" s="37"/>
      <c r="D15" s="10">
        <f>D12</f>
        <v>1260</v>
      </c>
    </row>
    <row r="16" spans="2:4" ht="18" thickBot="1" x14ac:dyDescent="0.35">
      <c r="B16" s="38" t="s">
        <v>4</v>
      </c>
      <c r="C16" s="39"/>
      <c r="D16" s="11">
        <v>5</v>
      </c>
    </row>
    <row r="17" spans="1:4" ht="18" thickBot="1" x14ac:dyDescent="0.35">
      <c r="B17" s="38" t="s">
        <v>5</v>
      </c>
      <c r="C17" s="39"/>
      <c r="D17" s="12">
        <v>1.0789999999999999E-2</v>
      </c>
    </row>
    <row r="18" spans="1:4" ht="18" thickBot="1" x14ac:dyDescent="0.35">
      <c r="B18" s="40" t="s">
        <v>1</v>
      </c>
      <c r="C18" s="41"/>
      <c r="D18" s="13">
        <f>FV(taxa_mensal,QTDE_Anos*12,Aporte)*-1</f>
        <v>105558.91163809443</v>
      </c>
    </row>
    <row r="19" spans="1:4" ht="18" thickBot="1" x14ac:dyDescent="0.35">
      <c r="B19" s="43" t="s">
        <v>2</v>
      </c>
      <c r="C19" s="44"/>
      <c r="D19" s="14">
        <f>patrimonio*Rendimento_carteira</f>
        <v>633.35346982856663</v>
      </c>
    </row>
    <row r="20" spans="1:4" ht="15.75" thickBot="1" x14ac:dyDescent="0.3"/>
    <row r="21" spans="1:4" ht="26.25" x14ac:dyDescent="0.25">
      <c r="B21" s="34" t="s">
        <v>15</v>
      </c>
      <c r="C21" s="35"/>
      <c r="D21" s="2" t="s">
        <v>11</v>
      </c>
    </row>
    <row r="22" spans="1:4" ht="18" thickBot="1" x14ac:dyDescent="0.35">
      <c r="A22" s="1">
        <v>2</v>
      </c>
      <c r="B22" s="4" t="s">
        <v>6</v>
      </c>
      <c r="C22" s="15">
        <f>FV($D$17,$A22*12,Aporte*-1)</f>
        <v>34306.810395032975</v>
      </c>
      <c r="D22" s="16">
        <f>C22*Rendimento_carteira</f>
        <v>205.84086237019787</v>
      </c>
    </row>
    <row r="23" spans="1:4" ht="18" thickBot="1" x14ac:dyDescent="0.35">
      <c r="A23" s="1">
        <v>5</v>
      </c>
      <c r="B23" s="6" t="s">
        <v>7</v>
      </c>
      <c r="C23" s="15">
        <f>FV($D$17,$A23*12,$D$15*-1)</f>
        <v>105558.91163809443</v>
      </c>
      <c r="D23" s="16">
        <f>C23*Rendimento_carteira</f>
        <v>633.35346982856663</v>
      </c>
    </row>
    <row r="24" spans="1:4" ht="18" thickBot="1" x14ac:dyDescent="0.35">
      <c r="A24" s="1">
        <v>10</v>
      </c>
      <c r="B24" s="6" t="s">
        <v>8</v>
      </c>
      <c r="C24" s="15">
        <f>FV($D$17,$A24*12,$D$15*-1)</f>
        <v>306538.10778801696</v>
      </c>
      <c r="D24" s="16">
        <f>C24*Rendimento_carteira</f>
        <v>1839.2286467281017</v>
      </c>
    </row>
    <row r="25" spans="1:4" ht="18" thickBot="1" x14ac:dyDescent="0.35">
      <c r="A25" s="1">
        <v>20</v>
      </c>
      <c r="B25" s="6" t="s">
        <v>9</v>
      </c>
      <c r="C25" s="15">
        <f>FV($D$17,$A25*12,$D$15*-1)</f>
        <v>1417749.9841223215</v>
      </c>
      <c r="D25" s="17">
        <f>C25*Rendimento_carteira</f>
        <v>8506.4999047339297</v>
      </c>
    </row>
    <row r="26" spans="1:4" ht="18" thickBot="1" x14ac:dyDescent="0.35">
      <c r="A26" s="1">
        <v>30</v>
      </c>
      <c r="B26" s="8" t="s">
        <v>10</v>
      </c>
      <c r="C26" s="18">
        <f>FV($D$17,$A26*12,$D$15*-1)</f>
        <v>5445933.7653059401</v>
      </c>
      <c r="D26" s="19">
        <f>C26*Rendimento_carteira</f>
        <v>32675.602591835643</v>
      </c>
    </row>
    <row r="30" spans="1:4" x14ac:dyDescent="0.25">
      <c r="B30" s="20" t="s">
        <v>17</v>
      </c>
      <c r="C30" s="24" t="s">
        <v>31</v>
      </c>
      <c r="D30" s="20"/>
    </row>
    <row r="31" spans="1:4" x14ac:dyDescent="0.25">
      <c r="B31" s="29" t="s">
        <v>18</v>
      </c>
      <c r="C31" s="23">
        <f>Aporte</f>
        <v>1260</v>
      </c>
      <c r="D31" s="22"/>
    </row>
    <row r="33" spans="2:4" x14ac:dyDescent="0.25">
      <c r="B33" s="26" t="s">
        <v>19</v>
      </c>
      <c r="C33" s="26" t="s">
        <v>21</v>
      </c>
      <c r="D33" s="26" t="s">
        <v>20</v>
      </c>
    </row>
    <row r="34" spans="2:4" x14ac:dyDescent="0.25">
      <c r="B34" s="3" t="s">
        <v>22</v>
      </c>
      <c r="C34" s="25">
        <f>VLOOKUP($C$30&amp;"-"&amp;B34,Planilha2!$A$1:$D$20,4,FALSE)</f>
        <v>0.32</v>
      </c>
      <c r="D34" s="21">
        <f>C34*$C$31</f>
        <v>403.2</v>
      </c>
    </row>
    <row r="35" spans="2:4" x14ac:dyDescent="0.25">
      <c r="B35" s="3" t="s">
        <v>23</v>
      </c>
      <c r="C35" s="25">
        <f>VLOOKUP($C$30&amp;"-"&amp;B35,Planilha2!$A$1:$D$20,4,FALSE)</f>
        <v>0.35</v>
      </c>
      <c r="D35" s="21">
        <f t="shared" ref="D35:D39" si="0">C35*$C$31</f>
        <v>441</v>
      </c>
    </row>
    <row r="36" spans="2:4" x14ac:dyDescent="0.25">
      <c r="B36" s="3" t="s">
        <v>24</v>
      </c>
      <c r="C36" s="25">
        <f>VLOOKUP($C$30&amp;"-"&amp;B36,Planilha2!$A$1:$D$20,4,FALSE)</f>
        <v>0.08</v>
      </c>
      <c r="D36" s="21">
        <f t="shared" si="0"/>
        <v>100.8</v>
      </c>
    </row>
    <row r="37" spans="2:4" x14ac:dyDescent="0.25">
      <c r="B37" s="3" t="s">
        <v>25</v>
      </c>
      <c r="C37" s="25">
        <f>VLOOKUP($C$30&amp;"-"&amp;B37,Planilha2!$A$1:$D$20,4,FALSE)</f>
        <v>0.05</v>
      </c>
      <c r="D37" s="21">
        <f t="shared" si="0"/>
        <v>63</v>
      </c>
    </row>
    <row r="38" spans="2:4" x14ac:dyDescent="0.25">
      <c r="B38" s="3" t="s">
        <v>26</v>
      </c>
      <c r="C38" s="25">
        <f>VLOOKUP($C$30&amp;"-"&amp;B38,Planilha2!$A$1:$D$20,4,FALSE)</f>
        <v>0.1</v>
      </c>
      <c r="D38" s="21">
        <f t="shared" si="0"/>
        <v>126</v>
      </c>
    </row>
    <row r="39" spans="2:4" x14ac:dyDescent="0.25">
      <c r="B39" s="3" t="s">
        <v>27</v>
      </c>
      <c r="C39" s="25">
        <f>VLOOKUP($C$30&amp;"-"&amp;B39,Planilha2!$A$1:$D$20,4,FALSE)</f>
        <v>0.1</v>
      </c>
      <c r="D39" s="21">
        <f t="shared" si="0"/>
        <v>126</v>
      </c>
    </row>
    <row r="40" spans="2:4" x14ac:dyDescent="0.25">
      <c r="B40" s="27"/>
      <c r="C40" s="27"/>
      <c r="D40" s="28">
        <f>SUM(D34:D39)</f>
        <v>1260</v>
      </c>
    </row>
  </sheetData>
  <mergeCells count="11">
    <mergeCell ref="B9:D9"/>
    <mergeCell ref="B14:D14"/>
    <mergeCell ref="B19:C19"/>
    <mergeCell ref="B10:C10"/>
    <mergeCell ref="B11:C11"/>
    <mergeCell ref="B12:C12"/>
    <mergeCell ref="B21:C21"/>
    <mergeCell ref="B15:C15"/>
    <mergeCell ref="B16:C16"/>
    <mergeCell ref="B17:C17"/>
    <mergeCell ref="B18:C18"/>
  </mergeCells>
  <dataValidations count="1">
    <dataValidation type="list" allowBlank="1" showInputMessage="1" showErrorMessage="1" sqref="C30" xr:uid="{9A740438-76B1-4223-A368-F080239D763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EAFA-7B61-471D-B8DE-60FD57A28C42}">
  <dimension ref="A2:H20"/>
  <sheetViews>
    <sheetView workbookViewId="0">
      <selection activeCell="H17" sqref="H17"/>
    </sheetView>
  </sheetViews>
  <sheetFormatPr defaultRowHeight="15" x14ac:dyDescent="0.25"/>
  <cols>
    <col min="1" max="1" width="22.5703125" customWidth="1"/>
    <col min="2" max="2" width="27.140625" customWidth="1"/>
    <col min="3" max="3" width="18.5703125" bestFit="1" customWidth="1"/>
    <col min="7" max="7" width="16.85546875" bestFit="1" customWidth="1"/>
    <col min="8" max="8" width="15.7109375" customWidth="1"/>
  </cols>
  <sheetData>
    <row r="2" spans="1:8" x14ac:dyDescent="0.25">
      <c r="A2" t="s">
        <v>30</v>
      </c>
      <c r="B2" s="3" t="s">
        <v>17</v>
      </c>
      <c r="C2" s="3" t="s">
        <v>19</v>
      </c>
      <c r="D2" s="3" t="s">
        <v>29</v>
      </c>
    </row>
    <row r="3" spans="1:8" x14ac:dyDescent="0.25">
      <c r="A3" t="str">
        <f>B3&amp;"-"&amp;C3</f>
        <v>Conservador-PAPEL</v>
      </c>
      <c r="B3" t="s">
        <v>28</v>
      </c>
      <c r="C3" s="3" t="s">
        <v>22</v>
      </c>
      <c r="D3" s="25">
        <v>0.3</v>
      </c>
    </row>
    <row r="4" spans="1:8" x14ac:dyDescent="0.25">
      <c r="A4" t="str">
        <f t="shared" ref="A4:A20" si="0">B4&amp;"-"&amp;C4</f>
        <v>Conservador-TIJOLO</v>
      </c>
      <c r="B4" t="s">
        <v>28</v>
      </c>
      <c r="C4" s="3" t="s">
        <v>23</v>
      </c>
      <c r="D4" s="25">
        <v>0.5</v>
      </c>
    </row>
    <row r="5" spans="1:8" x14ac:dyDescent="0.25">
      <c r="A5" t="str">
        <f t="shared" si="0"/>
        <v>Conservador-HÍBRIDOS</v>
      </c>
      <c r="B5" t="s">
        <v>28</v>
      </c>
      <c r="C5" s="3" t="s">
        <v>24</v>
      </c>
      <c r="D5" s="25">
        <v>0.1</v>
      </c>
      <c r="G5" s="20" t="str">
        <f>A10</f>
        <v>Moderado-TIJOLO</v>
      </c>
      <c r="H5" s="33">
        <f>VLOOKUP($G$5,$A:$D,4,FALSE)</f>
        <v>0.35</v>
      </c>
    </row>
    <row r="6" spans="1:8" x14ac:dyDescent="0.25">
      <c r="A6" t="str">
        <f t="shared" si="0"/>
        <v>Conservador-FOFs</v>
      </c>
      <c r="B6" t="s">
        <v>28</v>
      </c>
      <c r="C6" s="3" t="s">
        <v>25</v>
      </c>
      <c r="D6" s="25">
        <v>0.1</v>
      </c>
    </row>
    <row r="7" spans="1:8" x14ac:dyDescent="0.25">
      <c r="A7" t="str">
        <f t="shared" si="0"/>
        <v>Conservador-DESENVOLVIMENTO</v>
      </c>
      <c r="B7" t="s">
        <v>28</v>
      </c>
      <c r="C7" s="3" t="s">
        <v>26</v>
      </c>
      <c r="D7" s="25">
        <v>0</v>
      </c>
    </row>
    <row r="8" spans="1:8" ht="15.75" thickBot="1" x14ac:dyDescent="0.3">
      <c r="A8" s="30" t="str">
        <f t="shared" si="0"/>
        <v>Conservador-HOTELARIAS</v>
      </c>
      <c r="B8" s="30" t="s">
        <v>28</v>
      </c>
      <c r="C8" s="31" t="s">
        <v>27</v>
      </c>
      <c r="D8" s="32">
        <v>0</v>
      </c>
    </row>
    <row r="9" spans="1:8" x14ac:dyDescent="0.25">
      <c r="A9" t="str">
        <f t="shared" si="0"/>
        <v>Moderado-PAPEL</v>
      </c>
      <c r="B9" t="s">
        <v>31</v>
      </c>
      <c r="C9" s="3" t="s">
        <v>22</v>
      </c>
      <c r="D9" s="25">
        <v>0.32</v>
      </c>
    </row>
    <row r="10" spans="1:8" x14ac:dyDescent="0.25">
      <c r="A10" t="str">
        <f t="shared" si="0"/>
        <v>Moderado-TIJOLO</v>
      </c>
      <c r="B10" t="s">
        <v>31</v>
      </c>
      <c r="C10" s="3" t="s">
        <v>23</v>
      </c>
      <c r="D10" s="25">
        <v>0.35</v>
      </c>
    </row>
    <row r="11" spans="1:8" x14ac:dyDescent="0.25">
      <c r="A11" t="str">
        <f t="shared" si="0"/>
        <v>Moderado-HÍBRIDOS</v>
      </c>
      <c r="B11" t="s">
        <v>31</v>
      </c>
      <c r="C11" s="3" t="s">
        <v>24</v>
      </c>
      <c r="D11" s="25">
        <v>0.08</v>
      </c>
    </row>
    <row r="12" spans="1:8" x14ac:dyDescent="0.25">
      <c r="A12" t="str">
        <f t="shared" si="0"/>
        <v>Moderado-FOFs</v>
      </c>
      <c r="B12" t="s">
        <v>31</v>
      </c>
      <c r="C12" s="3" t="s">
        <v>25</v>
      </c>
      <c r="D12" s="25">
        <v>0.05</v>
      </c>
    </row>
    <row r="13" spans="1:8" x14ac:dyDescent="0.25">
      <c r="A13" t="str">
        <f t="shared" si="0"/>
        <v>Moderado-DESENVOLVIMENTO</v>
      </c>
      <c r="B13" t="s">
        <v>31</v>
      </c>
      <c r="C13" s="3" t="s">
        <v>26</v>
      </c>
      <c r="D13" s="25">
        <v>0.1</v>
      </c>
    </row>
    <row r="14" spans="1:8" ht="15.75" thickBot="1" x14ac:dyDescent="0.3">
      <c r="A14" s="30" t="str">
        <f t="shared" si="0"/>
        <v>Moderado-HOTELARIAS</v>
      </c>
      <c r="B14" s="30" t="s">
        <v>31</v>
      </c>
      <c r="C14" s="31" t="s">
        <v>27</v>
      </c>
      <c r="D14" s="32">
        <v>0.1</v>
      </c>
    </row>
    <row r="15" spans="1:8" x14ac:dyDescent="0.25">
      <c r="A15" t="str">
        <f t="shared" si="0"/>
        <v>Agressivo-PAPEL</v>
      </c>
      <c r="B15" t="s">
        <v>16</v>
      </c>
      <c r="C15" s="3" t="s">
        <v>22</v>
      </c>
      <c r="D15" s="25">
        <v>0.5</v>
      </c>
    </row>
    <row r="16" spans="1:8" x14ac:dyDescent="0.25">
      <c r="A16" t="str">
        <f t="shared" si="0"/>
        <v>Agressivo-TIJOLO</v>
      </c>
      <c r="B16" t="s">
        <v>16</v>
      </c>
      <c r="C16" s="3" t="s">
        <v>23</v>
      </c>
      <c r="D16" s="25">
        <v>0.1</v>
      </c>
    </row>
    <row r="17" spans="1:4" x14ac:dyDescent="0.25">
      <c r="A17" t="str">
        <f t="shared" si="0"/>
        <v>Agressivo-HÍBRIDOS</v>
      </c>
      <c r="B17" t="s">
        <v>16</v>
      </c>
      <c r="C17" s="3" t="s">
        <v>24</v>
      </c>
      <c r="D17" s="25">
        <v>0.05</v>
      </c>
    </row>
    <row r="18" spans="1:4" x14ac:dyDescent="0.25">
      <c r="A18" t="str">
        <f t="shared" si="0"/>
        <v>Agressivo-FOFs</v>
      </c>
      <c r="B18" t="s">
        <v>16</v>
      </c>
      <c r="C18" s="3" t="s">
        <v>25</v>
      </c>
      <c r="D18" s="25">
        <v>0.05</v>
      </c>
    </row>
    <row r="19" spans="1:4" x14ac:dyDescent="0.25">
      <c r="A19" t="str">
        <f t="shared" si="0"/>
        <v>Agressivo-DESENVOLVIMENTO</v>
      </c>
      <c r="B19" t="s">
        <v>16</v>
      </c>
      <c r="C19" s="3" t="s">
        <v>26</v>
      </c>
      <c r="D19" s="25">
        <v>0.2</v>
      </c>
    </row>
    <row r="20" spans="1:4" x14ac:dyDescent="0.25">
      <c r="A20" t="str">
        <f t="shared" si="0"/>
        <v>Agressivo-HOTELARIAS</v>
      </c>
      <c r="B20" t="s">
        <v>16</v>
      </c>
      <c r="C20" s="3" t="s">
        <v>27</v>
      </c>
      <c r="D20" s="2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Planilha2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  <vt:lpstr>taxa_rendimento_mensal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Rocha</dc:creator>
  <cp:lastModifiedBy>Fabiana Rocha</cp:lastModifiedBy>
  <dcterms:created xsi:type="dcterms:W3CDTF">2026-09-22T19:14:02Z</dcterms:created>
  <dcterms:modified xsi:type="dcterms:W3CDTF">2026-09-24T18:01:27Z</dcterms:modified>
</cp:coreProperties>
</file>